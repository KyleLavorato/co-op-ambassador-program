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lavorato/Downloads/"/>
    </mc:Choice>
  </mc:AlternateContent>
  <xr:revisionPtr revIDLastSave="0" documentId="13_ncr:1_{9B8438A7-3882-DA41-AB14-A6EA40E73F2E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Round 1 Interviews" sheetId="1" r:id="rId1"/>
    <sheet name="Offer Tracker HR ONLY" sheetId="2" r:id="rId2"/>
  </sheets>
  <definedNames>
    <definedName name="_xlnm._FilterDatabase" localSheetId="0" hidden="1">'Round 1 Interviews'!$A$1:$R$1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N2" i="1" s="1"/>
  <c r="M2" i="1"/>
</calcChain>
</file>

<file path=xl/sharedStrings.xml><?xml version="1.0" encoding="utf-8"?>
<sst xmlns="http://schemas.openxmlformats.org/spreadsheetml/2006/main" count="56" uniqueCount="47">
  <si>
    <t>Name</t>
  </si>
  <si>
    <t>School</t>
  </si>
  <si>
    <t>Student Email</t>
  </si>
  <si>
    <t>Interviewer</t>
  </si>
  <si>
    <t>Year of Study</t>
  </si>
  <si>
    <t>Grad Date</t>
  </si>
  <si>
    <t>Team Preference</t>
  </si>
  <si>
    <t>Codility Score</t>
  </si>
  <si>
    <t>Skills (out of 10)</t>
  </si>
  <si>
    <t>Experience (out of 5)</t>
  </si>
  <si>
    <t>3CIT (out of 10)</t>
  </si>
  <si>
    <t>Codility (out of 10)</t>
  </si>
  <si>
    <t>Notable Skills</t>
  </si>
  <si>
    <t>Summary Notes</t>
  </si>
  <si>
    <t>Carleton</t>
  </si>
  <si>
    <t>Cloud</t>
  </si>
  <si>
    <t>uOttawa</t>
  </si>
  <si>
    <t>* Referral</t>
  </si>
  <si>
    <t>Accepted another offer</t>
  </si>
  <si>
    <t>Codility Incomplete/failed</t>
  </si>
  <si>
    <t>Offer Status</t>
  </si>
  <si>
    <t>Verbal Accepted/Declined</t>
  </si>
  <si>
    <t>Email</t>
  </si>
  <si>
    <t>Candidate ID</t>
  </si>
  <si>
    <t>Year</t>
  </si>
  <si>
    <t>Grad Year</t>
  </si>
  <si>
    <t>Hourly Rate</t>
  </si>
  <si>
    <t>Start Date</t>
  </si>
  <si>
    <t>End Date</t>
  </si>
  <si>
    <t>Manager / Team Selection</t>
  </si>
  <si>
    <t>Team Recommendation</t>
  </si>
  <si>
    <t>Skills</t>
  </si>
  <si>
    <t>Interview Notes</t>
  </si>
  <si>
    <t>Notes</t>
  </si>
  <si>
    <t>Accepted</t>
  </si>
  <si>
    <t xml:space="preserve">Applied </t>
  </si>
  <si>
    <t>John Sample</t>
  </si>
  <si>
    <t>john.sample@gmail.com</t>
  </si>
  <si>
    <t>Kyle</t>
  </si>
  <si>
    <t>May 2026</t>
  </si>
  <si>
    <t>Python, AWS, CI/CD, Testing</t>
  </si>
  <si>
    <t>John is a good candidate. He showed passion for cybersecurity and knew what Trend  Micro does. He is a strong communicator and answered behavioural questions well. His coding experience is a bit lacking for a third year. Skill questions were mostly answered correctly. The first coding question he answered perfectly. The second one he needed some guidance but got to the solution.</t>
  </si>
  <si>
    <t>N/A</t>
  </si>
  <si>
    <t>uWaterloo</t>
  </si>
  <si>
    <t>Total GPA</t>
  </si>
  <si>
    <t>GPA Score (out of 5)</t>
  </si>
  <si>
    <t>Final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</si>
</sst>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$-409]* #,##0.00_);_([$$-409]* \(#,##0.00\);_([$$-409]* &quot;-&quot;??_);_(@_)"/>
    <numFmt numFmtId="165" formatCode="_([$$-409]* #,##0_);_([$$-409]* \(#,##0\);_([$$-409]* &quot;-&quot;??_);_(@_)"/>
    <numFmt numFmtId="166" formatCode="0.0"/>
    <numFmt numFmtId="167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wrapText="1"/>
    </xf>
    <xf numFmtId="164" fontId="1" fillId="3" borderId="0" xfId="0" applyNumberFormat="1" applyFont="1" applyFill="1"/>
    <xf numFmtId="0" fontId="1" fillId="3" borderId="0" xfId="0" applyFont="1" applyFill="1" applyAlignment="1">
      <alignment wrapText="1"/>
    </xf>
    <xf numFmtId="0" fontId="2" fillId="0" borderId="0" xfId="0" applyFont="1"/>
    <xf numFmtId="15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 wrapText="1"/>
    </xf>
    <xf numFmtId="9" fontId="0" fillId="0" borderId="0" xfId="0" applyNumberFormat="1"/>
    <xf numFmtId="17" fontId="0" fillId="0" borderId="0" xfId="0" applyNumberFormat="1"/>
    <xf numFmtId="0" fontId="0" fillId="4" borderId="0" xfId="0" applyFill="1"/>
    <xf numFmtId="0" fontId="0" fillId="5" borderId="0" xfId="0" applyFill="1"/>
    <xf numFmtId="16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/>
    <xf numFmtId="0" fontId="4" fillId="0" borderId="0" xfId="0" applyFont="1"/>
    <xf numFmtId="49" fontId="1" fillId="2" borderId="1" xfId="0" applyNumberFormat="1" applyFont="1" applyFill="1" applyBorder="1" applyAlignment="1">
      <alignment horizontal="left"/>
    </xf>
    <xf numFmtId="1" fontId="0" fillId="0" borderId="0" xfId="0" applyNumberFormat="1"/>
    <xf numFmtId="166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wrapText="1"/>
    </xf>
    <xf numFmtId="166" fontId="4" fillId="0" borderId="0" xfId="0" applyNumberFormat="1" applyFont="1"/>
    <xf numFmtId="167" fontId="1" fillId="6" borderId="1" xfId="0" applyNumberFormat="1" applyFont="1" applyFill="1" applyBorder="1" applyAlignment="1">
      <alignment horizontal="center"/>
    </xf>
    <xf numFmtId="167" fontId="1" fillId="6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E4C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ampl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topLeftCell="G1" workbookViewId="0">
      <pane ySplit="1" topLeftCell="A2" activePane="bottomLeft" state="frozen"/>
      <selection pane="bottomLeft" activeCell="Q3" sqref="Q3"/>
    </sheetView>
  </sheetViews>
  <sheetFormatPr baseColWidth="10" defaultColWidth="8.83203125" defaultRowHeight="15" x14ac:dyDescent="0.2"/>
  <cols>
    <col min="1" max="1" width="23.6640625" bestFit="1" customWidth="1"/>
    <col min="2" max="2" width="9.6640625" customWidth="1"/>
    <col min="3" max="3" width="34.5" customWidth="1"/>
    <col min="4" max="4" width="19" customWidth="1"/>
    <col min="5" max="5" width="13" style="20" customWidth="1"/>
    <col min="6" max="6" width="22.1640625" style="21" customWidth="1"/>
    <col min="7" max="7" width="13.6640625" style="25" bestFit="1" customWidth="1"/>
    <col min="8" max="8" width="16.5" style="12" customWidth="1"/>
    <col min="9" max="9" width="21.83203125" customWidth="1"/>
    <col min="10" max="10" width="26.83203125" customWidth="1"/>
    <col min="11" max="11" width="22.33203125" customWidth="1"/>
    <col min="12" max="12" width="22.33203125" style="23" customWidth="1"/>
    <col min="13" max="13" width="27.6640625" style="28" customWidth="1"/>
    <col min="14" max="14" width="10.1640625" style="30" customWidth="1"/>
    <col min="15" max="15" width="45.5" customWidth="1"/>
    <col min="16" max="16" width="40.5" style="17" customWidth="1"/>
    <col min="17" max="17" width="19.33203125" style="17" bestFit="1" customWidth="1"/>
    <col min="18" max="18" width="23.83203125" customWidth="1"/>
  </cols>
  <sheetData>
    <row r="1" spans="1:18" ht="16" x14ac:dyDescent="0.2">
      <c r="A1" s="1" t="s">
        <v>0</v>
      </c>
      <c r="B1" s="3" t="s">
        <v>1</v>
      </c>
      <c r="C1" s="3" t="s">
        <v>2</v>
      </c>
      <c r="D1" s="1" t="s">
        <v>3</v>
      </c>
      <c r="E1" s="19" t="s">
        <v>4</v>
      </c>
      <c r="F1" s="24" t="s">
        <v>5</v>
      </c>
      <c r="G1" s="27" t="s">
        <v>44</v>
      </c>
      <c r="H1" s="2" t="s">
        <v>7</v>
      </c>
      <c r="I1" s="11" t="s">
        <v>8</v>
      </c>
      <c r="J1" s="1" t="s">
        <v>9</v>
      </c>
      <c r="K1" s="1" t="s">
        <v>10</v>
      </c>
      <c r="L1" s="1" t="s">
        <v>45</v>
      </c>
      <c r="M1" s="26" t="s">
        <v>11</v>
      </c>
      <c r="N1" s="29" t="s">
        <v>46</v>
      </c>
      <c r="O1" s="11" t="s">
        <v>12</v>
      </c>
      <c r="P1" s="11" t="s">
        <v>13</v>
      </c>
      <c r="Q1" s="11" t="s">
        <v>6</v>
      </c>
      <c r="R1" s="11" t="s">
        <v>30</v>
      </c>
    </row>
    <row r="2" spans="1:18" ht="128" x14ac:dyDescent="0.2">
      <c r="A2" t="s">
        <v>36</v>
      </c>
      <c r="B2" t="s">
        <v>14</v>
      </c>
      <c r="C2" s="10" t="s">
        <v>37</v>
      </c>
      <c r="D2" t="s">
        <v>38</v>
      </c>
      <c r="E2" s="20">
        <v>3</v>
      </c>
      <c r="F2" s="21" t="s">
        <v>39</v>
      </c>
      <c r="G2" s="25">
        <v>6</v>
      </c>
      <c r="H2" s="12">
        <v>0.73</v>
      </c>
      <c r="I2">
        <v>7</v>
      </c>
      <c r="J2">
        <v>4</v>
      </c>
      <c r="K2">
        <v>9</v>
      </c>
      <c r="L2" s="23">
        <f>IF(B2="uWaterloo",G2/10/2,IF(B2="uOttawa",G2/2,IF(B2="Carleton",G2/12*5,0)))</f>
        <v>2.5</v>
      </c>
      <c r="M2" s="28">
        <f>H2*10</f>
        <v>7.3</v>
      </c>
      <c r="N2" s="30">
        <f>SUM(I2:M2)/(10+5+10+5+10)</f>
        <v>0.745</v>
      </c>
      <c r="O2" t="s">
        <v>40</v>
      </c>
      <c r="P2" s="17" t="s">
        <v>41</v>
      </c>
      <c r="Q2" s="17" t="s">
        <v>15</v>
      </c>
      <c r="R2" t="s">
        <v>42</v>
      </c>
    </row>
    <row r="45" spans="1:1" x14ac:dyDescent="0.2">
      <c r="A45" t="s">
        <v>17</v>
      </c>
    </row>
    <row r="46" spans="1:1" x14ac:dyDescent="0.2">
      <c r="A46" s="15" t="s">
        <v>18</v>
      </c>
    </row>
    <row r="47" spans="1:1" x14ac:dyDescent="0.2">
      <c r="A47" s="14" t="s">
        <v>19</v>
      </c>
    </row>
    <row r="50" spans="1:1" x14ac:dyDescent="0.2">
      <c r="A50" t="s">
        <v>43</v>
      </c>
    </row>
    <row r="51" spans="1:1" x14ac:dyDescent="0.2">
      <c r="A51" t="s">
        <v>16</v>
      </c>
    </row>
    <row r="52" spans="1:1" x14ac:dyDescent="0.2">
      <c r="A52" t="s">
        <v>14</v>
      </c>
    </row>
  </sheetData>
  <autoFilter ref="A1:R1" xr:uid="{00000000-0001-0000-0000-000000000000}">
    <sortState xmlns:xlrd2="http://schemas.microsoft.com/office/spreadsheetml/2017/richdata2" ref="A2:R4">
      <sortCondition ref="B1"/>
    </sortState>
  </autoFilter>
  <dataValidations count="1">
    <dataValidation type="list" allowBlank="1" showInputMessage="1" showErrorMessage="1" sqref="B1:B1048576" xr:uid="{AECC95C0-C4E4-3147-9F31-CFAC8D34EF23}">
      <formula1>$A$50:$A$52</formula1>
    </dataValidation>
  </dataValidations>
  <hyperlinks>
    <hyperlink ref="C2" r:id="rId1" xr:uid="{4EDD50EB-957A-2245-990D-2898D11FD1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CBC9-8BEE-40C9-8C6B-23DC6BD11776}">
  <dimension ref="A1:Q19"/>
  <sheetViews>
    <sheetView workbookViewId="0">
      <selection activeCell="F2" sqref="F2"/>
    </sheetView>
  </sheetViews>
  <sheetFormatPr baseColWidth="10" defaultColWidth="9.1640625" defaultRowHeight="15" x14ac:dyDescent="0.2"/>
  <cols>
    <col min="1" max="1" width="17" bestFit="1" customWidth="1"/>
    <col min="2" max="2" width="17.83203125" customWidth="1"/>
    <col min="3" max="3" width="23.6640625" bestFit="1" customWidth="1"/>
    <col min="4" max="4" width="34.5" bestFit="1" customWidth="1"/>
    <col min="5" max="5" width="12.5" bestFit="1" customWidth="1"/>
    <col min="6" max="6" width="9.5" bestFit="1" customWidth="1"/>
    <col min="7" max="8" width="9.1640625" customWidth="1"/>
    <col min="9" max="9" width="9.1640625" bestFit="1" customWidth="1"/>
    <col min="10" max="10" width="12.1640625" customWidth="1"/>
    <col min="11" max="11" width="14.83203125" customWidth="1"/>
    <col min="12" max="16" width="0" hidden="1" customWidth="1"/>
    <col min="17" max="17" width="33" customWidth="1"/>
    <col min="20" max="20" width="23.6640625" bestFit="1" customWidth="1"/>
  </cols>
  <sheetData>
    <row r="1" spans="1:17" ht="29" customHeight="1" x14ac:dyDescent="0.2">
      <c r="A1" s="4" t="s">
        <v>20</v>
      </c>
      <c r="B1" s="5" t="s">
        <v>21</v>
      </c>
      <c r="C1" s="4" t="s">
        <v>0</v>
      </c>
      <c r="D1" s="4" t="s">
        <v>22</v>
      </c>
      <c r="E1" s="4" t="s">
        <v>23</v>
      </c>
      <c r="F1" s="4" t="s">
        <v>1</v>
      </c>
      <c r="G1" s="4" t="s">
        <v>24</v>
      </c>
      <c r="H1" s="4" t="s">
        <v>25</v>
      </c>
      <c r="I1" s="6" t="s">
        <v>26</v>
      </c>
      <c r="J1" s="4" t="s">
        <v>27</v>
      </c>
      <c r="K1" s="4" t="s">
        <v>28</v>
      </c>
      <c r="L1" s="4" t="s">
        <v>29</v>
      </c>
      <c r="M1" s="4" t="s">
        <v>6</v>
      </c>
      <c r="N1" s="4" t="s">
        <v>30</v>
      </c>
      <c r="O1" s="7" t="s">
        <v>31</v>
      </c>
      <c r="P1" s="7" t="s">
        <v>32</v>
      </c>
      <c r="Q1" s="4" t="s">
        <v>33</v>
      </c>
    </row>
    <row r="2" spans="1:17" x14ac:dyDescent="0.2">
      <c r="A2" t="s">
        <v>34</v>
      </c>
      <c r="B2" t="s">
        <v>34</v>
      </c>
      <c r="C2" t="s">
        <v>36</v>
      </c>
      <c r="D2" s="10" t="s">
        <v>37</v>
      </c>
      <c r="F2" t="s">
        <v>16</v>
      </c>
      <c r="G2">
        <v>3</v>
      </c>
      <c r="H2" s="13"/>
      <c r="I2" s="22">
        <v>32</v>
      </c>
      <c r="J2" s="9">
        <v>45663</v>
      </c>
      <c r="K2" s="9">
        <v>45772</v>
      </c>
      <c r="Q2" t="s">
        <v>35</v>
      </c>
    </row>
    <row r="3" spans="1:17" x14ac:dyDescent="0.2">
      <c r="H3" s="13"/>
      <c r="I3" s="22"/>
      <c r="J3" s="9"/>
      <c r="K3" s="9"/>
    </row>
    <row r="4" spans="1:17" x14ac:dyDescent="0.2">
      <c r="I4" s="22"/>
    </row>
    <row r="5" spans="1:17" x14ac:dyDescent="0.2">
      <c r="H5" s="16"/>
      <c r="I5" s="22"/>
      <c r="J5" s="9"/>
      <c r="K5" s="9"/>
    </row>
    <row r="6" spans="1:17" x14ac:dyDescent="0.2">
      <c r="H6" s="13"/>
      <c r="I6" s="22"/>
      <c r="J6" s="9"/>
      <c r="K6" s="9"/>
    </row>
    <row r="7" spans="1:17" x14ac:dyDescent="0.2">
      <c r="H7" s="13"/>
      <c r="I7" s="22"/>
      <c r="J7" s="9"/>
      <c r="K7" s="9"/>
    </row>
    <row r="8" spans="1:17" x14ac:dyDescent="0.2">
      <c r="H8" s="13"/>
      <c r="I8" s="22"/>
      <c r="J8" s="9"/>
      <c r="K8" s="9"/>
    </row>
    <row r="9" spans="1:17" x14ac:dyDescent="0.2">
      <c r="H9" s="13"/>
      <c r="I9" s="22"/>
      <c r="J9" s="9"/>
      <c r="K9" s="9"/>
    </row>
    <row r="12" spans="1:17" x14ac:dyDescent="0.2">
      <c r="H12" s="13"/>
      <c r="I12" s="18"/>
      <c r="J12" s="9"/>
      <c r="K12" s="9"/>
    </row>
    <row r="15" spans="1:17" x14ac:dyDescent="0.2">
      <c r="G15" s="8"/>
      <c r="H15" s="8"/>
    </row>
    <row r="16" spans="1:17" x14ac:dyDescent="0.2">
      <c r="G16" s="8"/>
      <c r="H16" s="8"/>
    </row>
    <row r="17" spans="7:9" x14ac:dyDescent="0.2">
      <c r="G17" s="8"/>
      <c r="H17" s="8"/>
    </row>
    <row r="18" spans="7:9" x14ac:dyDescent="0.2">
      <c r="G18" s="8"/>
      <c r="H18" s="8"/>
    </row>
    <row r="19" spans="7:9" x14ac:dyDescent="0.2">
      <c r="G19" s="8"/>
      <c r="H19" s="8"/>
      <c r="I19" s="8"/>
    </row>
  </sheetData>
  <sortState xmlns:xlrd2="http://schemas.microsoft.com/office/spreadsheetml/2017/richdata2" ref="A2:Q9">
    <sortCondition ref="I2:I9"/>
  </sortState>
  <dataValidations count="5">
    <dataValidation type="list" allowBlank="1" showInputMessage="1" showErrorMessage="1" sqref="A12" xr:uid="{7EB95831-43CB-472D-BFA6-21C9AC4C5FAA}">
      <formula1>"Accepted, Declined, Offer Sent, Signed"</formula1>
    </dataValidation>
    <dataValidation type="list" allowBlank="1" showInputMessage="1" showErrorMessage="1" sqref="B3:B9" xr:uid="{479A9CFB-C9CF-4E30-857B-98D95CA628A8}">
      <formula1>"Accepted, Declined"</formula1>
    </dataValidation>
    <dataValidation type="list" allowBlank="1" showInputMessage="1" showErrorMessage="1" sqref="A3:A9" xr:uid="{CD0D9F75-3BD2-4242-A045-5B2B9FB783EC}">
      <formula1>"Verbally Accepted, Verbally Declined, Needs Offer, Offer Sent, Signed"</formula1>
    </dataValidation>
    <dataValidation type="list" showInputMessage="1" showErrorMessage="1" sqref="A2" xr:uid="{005CD121-A11E-4724-B80D-9B7E71B288C8}">
      <formula1>"Needs Offer, Offer Sent, Accepted"</formula1>
    </dataValidation>
    <dataValidation type="list" showInputMessage="1" showErrorMessage="1" sqref="B2" xr:uid="{9AB35EB4-852D-420A-ADF0-23B8E8179A32}">
      <formula1>"Accepted, Declined, Pending"</formula1>
    </dataValidation>
  </dataValidations>
  <hyperlinks>
    <hyperlink ref="D2" r:id="rId1" xr:uid="{DE4A058E-5FEF-3341-94B2-98B625C26AB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78F3F986C13344B8B7F990ED49CAAB" ma:contentTypeVersion="15" ma:contentTypeDescription="Create a new document." ma:contentTypeScope="" ma:versionID="cfa0093e6fda14c2048b17c8c7fe3d51">
  <xsd:schema xmlns:xsd="http://www.w3.org/2001/XMLSchema" xmlns:xs="http://www.w3.org/2001/XMLSchema" xmlns:p="http://schemas.microsoft.com/office/2006/metadata/properties" xmlns:ns2="1c39a069-7471-4c7c-bd23-004fe9119573" xmlns:ns3="e389a8af-bd47-49ca-8ead-8337d5d06986" targetNamespace="http://schemas.microsoft.com/office/2006/metadata/properties" ma:root="true" ma:fieldsID="4955ef4d2f8a034bc17d9589f0d292b0" ns2:_="" ns3:_="">
    <xsd:import namespace="1c39a069-7471-4c7c-bd23-004fe9119573"/>
    <xsd:import namespace="e389a8af-bd47-49ca-8ead-8337d5d069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9a069-7471-4c7c-bd23-004fe91195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2974828-9dee-43f5-bfd6-19b994d720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89a8af-bd47-49ca-8ead-8337d5d0698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a56789c-fa63-4984-a5e7-9539fe9d6f96}" ma:internalName="TaxCatchAll" ma:showField="CatchAllData" ma:web="e389a8af-bd47-49ca-8ead-8337d5d069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89a8af-bd47-49ca-8ead-8337d5d06986" xsi:nil="true"/>
    <lcf76f155ced4ddcb4097134ff3c332f xmlns="1c39a069-7471-4c7c-bd23-004fe9119573">
      <Terms xmlns="http://schemas.microsoft.com/office/infopath/2007/PartnerControls"/>
    </lcf76f155ced4ddcb4097134ff3c332f>
    <SharedWithUsers xmlns="e389a8af-bd47-49ca-8ead-8337d5d06986">
      <UserInfo>
        <DisplayName>Su Thakur (HR-NA)</DisplayName>
        <AccountId>112</AccountId>
        <AccountType/>
      </UserInfo>
      <UserInfo>
        <DisplayName>Lauren Muckstadt (HR-NA)</DisplayName>
        <AccountId>14</AccountId>
        <AccountType/>
      </UserInfo>
      <UserInfo>
        <DisplayName>Hamzah Abouseta (RD-NA)</DisplayName>
        <AccountId>95</AccountId>
        <AccountType/>
      </UserInfo>
      <UserInfo>
        <DisplayName>Tori Laughland (HR-NA)</DisplayName>
        <AccountId>60</AccountId>
        <AccountType/>
      </UserInfo>
      <UserInfo>
        <DisplayName>Natalie Low (HR-NA)</DisplayName>
        <AccountId>25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6175BCE-B6A7-4C02-9B5F-ACF9BB4A3D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0075BF-7214-4DD9-A618-519BF2771F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9a069-7471-4c7c-bd23-004fe9119573"/>
    <ds:schemaRef ds:uri="e389a8af-bd47-49ca-8ead-8337d5d069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06EB05-F219-4BEC-BD51-FF97B9F5DC22}">
  <ds:schemaRefs>
    <ds:schemaRef ds:uri="http://schemas.microsoft.com/office/2006/metadata/properties"/>
    <ds:schemaRef ds:uri="http://schemas.microsoft.com/office/infopath/2007/PartnerControls"/>
    <ds:schemaRef ds:uri="e389a8af-bd47-49ca-8ead-8337d5d06986"/>
    <ds:schemaRef ds:uri="1c39a069-7471-4c7c-bd23-004fe91195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Round 1 Interviews</vt:lpstr>
      <vt:lpstr>Offer Tracker HR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Kyle Lavorato (RD-NA)</cp:lastModifiedBy>
  <cp:revision/>
  <dcterms:created xsi:type="dcterms:W3CDTF">2024-03-13T16:42:22Z</dcterms:created>
  <dcterms:modified xsi:type="dcterms:W3CDTF">2024-11-19T15:35:59Z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0x010100D178F3F986C13344B8B7F990ED49CAAB</vt:lpwstr>
  </property>
  <property fmtid="{D5CDD505-2E9C-101B-9397-08002B2CF9AE}" pid="3" name="MediaServiceImageTags">
    <vt:lpwstr/>
  </property>
  <property fmtid="{D5CDD505-2E9C-101B-9397-08002B2CF9AE}" pid="4" name="MSIP_Label_fb50d67e-2428-41a1-85f0-bee73fd61572_Enabled">
    <vt:lpwstr>true</vt:lpwstr>
  </property>
  <property fmtid="{D5CDD505-2E9C-101B-9397-08002B2CF9AE}" pid="5" name="MSIP_Label_fb50d67e-2428-41a1-85f0-bee73fd61572_SetDate">
    <vt:lpwstr>2024-11-18T15:48:27Z</vt:lpwstr>
  </property>
  <property fmtid="{D5CDD505-2E9C-101B-9397-08002B2CF9AE}" pid="6" name="MSIP_Label_fb50d67e-2428-41a1-85f0-bee73fd61572_Method">
    <vt:lpwstr>Privileged</vt:lpwstr>
  </property>
  <property fmtid="{D5CDD505-2E9C-101B-9397-08002B2CF9AE}" pid="7" name="MSIP_Label_fb50d67e-2428-41a1-85f0-bee73fd61572_Name">
    <vt:lpwstr>Public Information - no protection</vt:lpwstr>
  </property>
  <property fmtid="{D5CDD505-2E9C-101B-9397-08002B2CF9AE}" pid="8" name="MSIP_Label_fb50d67e-2428-41a1-85f0-bee73fd61572_SiteId">
    <vt:lpwstr>3e04753a-ae5b-42d4-a86d-d6f05460f9e4</vt:lpwstr>
  </property>
  <property fmtid="{D5CDD505-2E9C-101B-9397-08002B2CF9AE}" pid="9" name="MSIP_Label_fb50d67e-2428-41a1-85f0-bee73fd61572_ActionId">
    <vt:lpwstr>76983d19-d429-4b8b-b3a0-e7ae3c6dccc5</vt:lpwstr>
  </property>
  <property fmtid="{D5CDD505-2E9C-101B-9397-08002B2CF9AE}" pid="10" name="MSIP_Label_fb50d67e-2428-41a1-85f0-bee73fd61572_ContentBits">
    <vt:lpwstr>0</vt:lpwstr>
  </property>
</Properties>
</file>